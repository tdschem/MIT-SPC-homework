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1NEPF0000223A\EXCELCNV\222c92be-1d93-41cf-87cc-ddd577d7ae40\"/>
    </mc:Choice>
  </mc:AlternateContent>
  <xr:revisionPtr revIDLastSave="0" documentId="8_{C9BDC945-487E-4A79-9DE0-5B4C4BB6C5CA}" xr6:coauthVersionLast="47" xr6:coauthVersionMax="47" xr10:uidLastSave="{00000000-0000-0000-0000-000000000000}"/>
  <bookViews>
    <workbookView xWindow="-60" yWindow="-60" windowWidth="15480" windowHeight="11640" tabRatio="231" xr2:uid="{81952822-9AC2-4644-A8C0-309D48DBB4B8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3" i="1"/>
  <c r="O14" i="1"/>
  <c r="O15" i="1"/>
  <c r="O12" i="1"/>
  <c r="N14" i="1"/>
  <c r="L14" i="1"/>
  <c r="L24" i="1"/>
  <c r="L23" i="1"/>
  <c r="L22" i="1"/>
  <c r="L21" i="1"/>
  <c r="M14" i="1"/>
  <c r="L13" i="1" a="1"/>
  <c r="L13" i="1"/>
  <c r="L12" i="1"/>
  <c r="N13" i="1"/>
  <c r="M12" i="1"/>
  <c r="M13" i="1"/>
  <c r="M15" i="1"/>
  <c r="L8" i="1"/>
  <c r="L7" i="1"/>
  <c r="L6" i="1"/>
  <c r="P5" i="1" s="1"/>
  <c r="L5" i="1"/>
  <c r="P7" i="1" s="1"/>
  <c r="L4" i="1"/>
  <c r="P6" i="1" l="1"/>
  <c r="P4" i="1"/>
  <c r="N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4" i="1"/>
  <c r="M4" i="1" s="1"/>
  <c r="N5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N6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34" i="1"/>
  <c r="M6" i="1" s="1"/>
  <c r="N7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49" i="1"/>
  <c r="M7" i="1" s="1"/>
  <c r="M5" i="1" l="1"/>
  <c r="M16" i="1"/>
  <c r="M8" i="1"/>
  <c r="L15" i="1" s="1"/>
  <c r="N15" i="1" s="1"/>
  <c r="L16" i="1" l="1"/>
  <c r="N16" i="1" s="1"/>
  <c r="N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<sst xmlns="http://schemas.openxmlformats.org/spreadsheetml/2006/main" count="48" uniqueCount="45">
  <si>
    <t>Spread sheet for ANOVA</t>
  </si>
  <si>
    <t>Injedction Molding</t>
  </si>
  <si>
    <t>Operating Pt#</t>
  </si>
  <si>
    <t>Diameter (in)</t>
  </si>
  <si>
    <t>Operating Points:</t>
  </si>
  <si>
    <t>Squared Error</t>
  </si>
  <si>
    <t>Op pt</t>
  </si>
  <si>
    <t>Mean</t>
  </si>
  <si>
    <t>SS</t>
  </si>
  <si>
    <t>Squared error of means</t>
  </si>
  <si>
    <t>Different means</t>
  </si>
  <si>
    <t>Low Hold - Low Velocity=1</t>
  </si>
  <si>
    <t>Low hold</t>
  </si>
  <si>
    <t>Low Hold - High Velocity=2</t>
  </si>
  <si>
    <t>High hold</t>
  </si>
  <si>
    <t>High Hold - Low Velocity=3</t>
  </si>
  <si>
    <t>Low v</t>
  </si>
  <si>
    <t>High Hold - High Velocity=4</t>
  </si>
  <si>
    <t>High v</t>
  </si>
  <si>
    <t xml:space="preserve">All </t>
  </si>
  <si>
    <t>Hold:        Low = 2 Sec</t>
  </si>
  <si>
    <t xml:space="preserve">                High = 5 Sec.</t>
  </si>
  <si>
    <t>MANOVA</t>
  </si>
  <si>
    <t>Velocity   Low = 0.5 1 2</t>
  </si>
  <si>
    <t>Source of variation</t>
  </si>
  <si>
    <t>DOF</t>
  </si>
  <si>
    <t>MSE</t>
  </si>
  <si>
    <t>F test</t>
  </si>
  <si>
    <t>95% confidence? (rougly 4 in F tables)</t>
  </si>
  <si>
    <t xml:space="preserve">                 High = 1 2 3 </t>
  </si>
  <si>
    <t>Hold=T</t>
  </si>
  <si>
    <t>Vlocity=B</t>
  </si>
  <si>
    <t>Between groups t</t>
  </si>
  <si>
    <t>yes</t>
  </si>
  <si>
    <t>ytb</t>
  </si>
  <si>
    <t>Between groups b</t>
  </si>
  <si>
    <t>Interaction</t>
  </si>
  <si>
    <t>no</t>
  </si>
  <si>
    <t>Within Groups</t>
  </si>
  <si>
    <t>Total</t>
  </si>
  <si>
    <t>interaction calcl</t>
  </si>
  <si>
    <t>low/low</t>
  </si>
  <si>
    <t>low/high</t>
  </si>
  <si>
    <t>high/low</t>
  </si>
  <si>
    <t>high/high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</si>
</sst>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7" formatCode="0.000000"/>
    <numFmt numFmtId="168" formatCode="0.0000000"/>
    <numFmt numFmtId="169" formatCode="0.00000000"/>
  </numFmts>
  <fonts count="3">
    <font>
      <sz val="10"/>
      <name val="Verdana"/>
    </font>
    <font>
      <sz val="8"/>
      <name val="Verdan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/>
    <xf numFmtId="0" fontId="2" fillId="0" borderId="3" xfId="0" applyFont="1" applyBorder="1" applyAlignment="1">
      <alignment horizontal="center"/>
    </xf>
    <xf numFmtId="164" fontId="2" fillId="0" borderId="3" xfId="0" applyNumberFormat="1" applyFont="1" applyBorder="1"/>
    <xf numFmtId="0" fontId="0" fillId="0" borderId="0" xfId="0" applyBorder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AC80-251F-4E26-B7FD-098C3AAD2A06}">
  <dimension ref="A1:P63"/>
  <sheetViews>
    <sheetView tabSelected="1" workbookViewId="0">
      <selection activeCell="P15" sqref="P15"/>
    </sheetView>
  </sheetViews>
  <sheetFormatPr defaultRowHeight="12.75"/>
  <cols>
    <col min="1" max="10" width="11" customWidth="1"/>
    <col min="11" max="11" width="19" customWidth="1"/>
    <col min="12" max="13" width="11" customWidth="1"/>
    <col min="14" max="14" width="24" customWidth="1"/>
    <col min="15" max="256" width="11" customWidth="1"/>
  </cols>
  <sheetData>
    <row r="1" spans="1:16">
      <c r="A1" t="s">
        <v>0</v>
      </c>
    </row>
    <row r="2" spans="1:16">
      <c r="A2" t="s">
        <v>1</v>
      </c>
    </row>
    <row r="3" spans="1:16">
      <c r="A3" s="1" t="s">
        <v>2</v>
      </c>
      <c r="B3" s="1" t="s">
        <v>3</v>
      </c>
      <c r="C3" s="8" t="s">
        <v>4</v>
      </c>
      <c r="E3" s="8"/>
      <c r="G3" t="s">
        <v>5</v>
      </c>
      <c r="K3" t="s">
        <v>6</v>
      </c>
      <c r="L3" t="s">
        <v>7</v>
      </c>
      <c r="M3" t="s">
        <v>8</v>
      </c>
      <c r="N3" t="s">
        <v>9</v>
      </c>
      <c r="P3" t="s">
        <v>10</v>
      </c>
    </row>
    <row r="4" spans="1:16">
      <c r="A4" s="2">
        <v>1</v>
      </c>
      <c r="B4" s="3">
        <v>2.0350000000000001</v>
      </c>
      <c r="C4">
        <v>1</v>
      </c>
      <c r="D4" s="8" t="s">
        <v>11</v>
      </c>
      <c r="E4" s="8"/>
      <c r="G4" s="12">
        <f>(B4-$L$4)^2</f>
        <v>5.1377777777786591E-6</v>
      </c>
      <c r="K4">
        <v>1</v>
      </c>
      <c r="L4" s="9">
        <f>AVERAGE(B4:B18)</f>
        <v>2.0327333333333333</v>
      </c>
      <c r="M4" s="12">
        <f>SUM(G4:G18)</f>
        <v>1.3293333333333298E-4</v>
      </c>
      <c r="N4" s="10">
        <f>(L4-AVERAGE($L$4:$L$7))^2</f>
        <v>4.3780277777781358E-5</v>
      </c>
      <c r="O4" t="s">
        <v>12</v>
      </c>
      <c r="P4" s="9">
        <f>AVERAGE(L4:L5)</f>
        <v>2.035566666666667</v>
      </c>
    </row>
    <row r="5" spans="1:16">
      <c r="A5" s="2">
        <v>1</v>
      </c>
      <c r="B5" s="3">
        <v>2.04</v>
      </c>
      <c r="C5">
        <v>2</v>
      </c>
      <c r="D5" s="8" t="s">
        <v>13</v>
      </c>
      <c r="E5" s="8"/>
      <c r="G5" s="12">
        <f t="shared" ref="G5:G19" si="0">(B5-$L$4)^2</f>
        <v>5.2804444444445722E-5</v>
      </c>
      <c r="K5">
        <v>2</v>
      </c>
      <c r="L5" s="9">
        <f>AVERAGE(B19:B33)</f>
        <v>2.0384000000000002</v>
      </c>
      <c r="M5" s="12">
        <f>SUM(G19:G33)</f>
        <v>5.2359999999999755E-4</v>
      </c>
      <c r="N5" s="10">
        <f t="shared" ref="N5:N8" si="1">(L5-AVERAGE($L$4:$L$7))^2</f>
        <v>9.0250000000001211E-7</v>
      </c>
      <c r="O5" t="s">
        <v>14</v>
      </c>
      <c r="P5" s="9">
        <f>AVERAGE(L6:L7)</f>
        <v>2.0431333333333335</v>
      </c>
    </row>
    <row r="6" spans="1:16">
      <c r="A6" s="2">
        <v>1</v>
      </c>
      <c r="B6" s="3">
        <v>2.0379999999999998</v>
      </c>
      <c r="C6">
        <v>3</v>
      </c>
      <c r="D6" s="8" t="s">
        <v>15</v>
      </c>
      <c r="E6" s="8"/>
      <c r="G6" s="12">
        <f t="shared" si="0"/>
        <v>2.7737777777776346E-5</v>
      </c>
      <c r="K6">
        <v>3</v>
      </c>
      <c r="L6" s="9">
        <f>AVERAGE(B34:B48)</f>
        <v>2.0426666666666669</v>
      </c>
      <c r="M6" s="12">
        <f>SUM(G34:G48)</f>
        <v>3.1333333333332888E-4</v>
      </c>
      <c r="N6" s="10">
        <f t="shared" si="1"/>
        <v>1.1000277777777564E-5</v>
      </c>
      <c r="O6" t="s">
        <v>16</v>
      </c>
      <c r="P6" s="9">
        <f>AVERAGE(L4,L6)</f>
        <v>2.0377000000000001</v>
      </c>
    </row>
    <row r="7" spans="1:16">
      <c r="A7" s="2">
        <v>1</v>
      </c>
      <c r="B7" s="3">
        <v>2.0350000000000001</v>
      </c>
      <c r="C7">
        <v>4</v>
      </c>
      <c r="D7" s="8" t="s">
        <v>17</v>
      </c>
      <c r="E7" s="8"/>
      <c r="G7" s="12">
        <f t="shared" si="0"/>
        <v>5.1377777777786591E-6</v>
      </c>
      <c r="K7">
        <v>4</v>
      </c>
      <c r="L7" s="9">
        <f>AVERAGE(B49:B63)</f>
        <v>2.0436000000000001</v>
      </c>
      <c r="M7" s="12">
        <f>SUM(G49:G63)</f>
        <v>3.0959999999999647E-4</v>
      </c>
      <c r="N7" s="10">
        <f t="shared" si="1"/>
        <v>1.8062499999998853E-5</v>
      </c>
      <c r="O7" t="s">
        <v>18</v>
      </c>
      <c r="P7" s="9">
        <f>AVERAGE(L5,L7)</f>
        <v>2.0410000000000004</v>
      </c>
    </row>
    <row r="8" spans="1:16">
      <c r="A8" s="2">
        <v>1</v>
      </c>
      <c r="B8" s="3">
        <v>2.0299999999999998</v>
      </c>
      <c r="D8" s="8"/>
      <c r="E8" s="8"/>
      <c r="G8" s="12">
        <f t="shared" si="0"/>
        <v>7.4711111111118927E-6</v>
      </c>
      <c r="K8" t="s">
        <v>19</v>
      </c>
      <c r="L8" s="9">
        <f>AVERAGE(B4:B63)</f>
        <v>2.0393500000000002</v>
      </c>
      <c r="M8" s="12">
        <f>SUM(M4:M7)</f>
        <v>1.2794666666666558E-3</v>
      </c>
      <c r="N8" s="10"/>
    </row>
    <row r="9" spans="1:16">
      <c r="A9" s="2">
        <v>1</v>
      </c>
      <c r="B9" s="3">
        <v>2.0310000000000001</v>
      </c>
      <c r="D9" s="8" t="s">
        <v>20</v>
      </c>
      <c r="E9" s="8"/>
      <c r="G9" s="12">
        <f t="shared" si="0"/>
        <v>3.0044444444437829E-6</v>
      </c>
    </row>
    <row r="10" spans="1:16">
      <c r="A10" s="2">
        <v>1</v>
      </c>
      <c r="B10" s="3">
        <v>2.0299999999999998</v>
      </c>
      <c r="D10" s="8" t="s">
        <v>21</v>
      </c>
      <c r="E10" s="8"/>
      <c r="G10" s="12">
        <f t="shared" si="0"/>
        <v>7.4711111111118927E-6</v>
      </c>
      <c r="K10" t="s">
        <v>22</v>
      </c>
    </row>
    <row r="11" spans="1:16">
      <c r="A11" s="2">
        <v>1</v>
      </c>
      <c r="B11" s="3">
        <v>2.0310000000000001</v>
      </c>
      <c r="D11" s="8" t="s">
        <v>23</v>
      </c>
      <c r="E11" s="8"/>
      <c r="G11" s="12">
        <f t="shared" si="0"/>
        <v>3.0044444444437829E-6</v>
      </c>
      <c r="K11" t="s">
        <v>24</v>
      </c>
      <c r="L11" t="s">
        <v>8</v>
      </c>
      <c r="M11" t="s">
        <v>25</v>
      </c>
      <c r="N11" t="s">
        <v>26</v>
      </c>
      <c r="O11" t="s">
        <v>27</v>
      </c>
      <c r="P11" t="s">
        <v>28</v>
      </c>
    </row>
    <row r="12" spans="1:16">
      <c r="A12" s="2">
        <v>1</v>
      </c>
      <c r="B12" s="3">
        <v>2.0310000000000001</v>
      </c>
      <c r="D12" s="8" t="s">
        <v>29</v>
      </c>
      <c r="E12" s="8"/>
      <c r="G12" s="12">
        <f t="shared" si="0"/>
        <v>3.0044444444437829E-6</v>
      </c>
      <c r="I12" t="s">
        <v>30</v>
      </c>
      <c r="J12" t="s">
        <v>31</v>
      </c>
      <c r="K12" t="s">
        <v>32</v>
      </c>
      <c r="L12" s="10">
        <f>((P4-$L$8)^2+(P5-$L$8)^2)*2*15</f>
        <v>8.5881666666662868E-4</v>
      </c>
      <c r="M12" s="12">
        <f>COUNT(P6:P7)-1</f>
        <v>1</v>
      </c>
      <c r="N12">
        <f>L12/M12</f>
        <v>8.5881666666662868E-4</v>
      </c>
      <c r="O12">
        <f>N12/$N$15</f>
        <v>37.58889120466727</v>
      </c>
      <c r="P12" t="s">
        <v>33</v>
      </c>
    </row>
    <row r="13" spans="1:16">
      <c r="A13" s="2">
        <v>1</v>
      </c>
      <c r="B13" s="3">
        <v>2.0339999999999998</v>
      </c>
      <c r="G13" s="12">
        <f t="shared" si="0"/>
        <v>1.604444444444091E-6</v>
      </c>
      <c r="I13" t="s">
        <v>34</v>
      </c>
      <c r="K13" t="s">
        <v>35</v>
      </c>
      <c r="L13" s="11" cm="1">
        <f t="array" ref="L13">SUM((P6:P7-$L$8)^2)*COUNT(B4:B18)*COUNT(P4:P5)</f>
        <v>1.6335000000002996E-4</v>
      </c>
      <c r="M13" s="12">
        <f>COUNT(P5:P6)-1</f>
        <v>1</v>
      </c>
      <c r="N13">
        <f>L13/M13</f>
        <v>1.6335000000002996E-4</v>
      </c>
      <c r="O13">
        <f t="shared" ref="O13:O15" si="2">N13/$N$15</f>
        <v>7.1495414756162115</v>
      </c>
      <c r="P13" t="s">
        <v>33</v>
      </c>
    </row>
    <row r="14" spans="1:16">
      <c r="A14" s="2">
        <v>1</v>
      </c>
      <c r="B14" s="3">
        <v>2.0299999999999998</v>
      </c>
      <c r="G14" s="12">
        <f t="shared" si="0"/>
        <v>7.4711111111118927E-6</v>
      </c>
      <c r="K14" t="s">
        <v>36</v>
      </c>
      <c r="L14">
        <f>COUNT(B4:B18)*SUM(L21:L24)</f>
        <v>8.4016666666679695E-5</v>
      </c>
      <c r="M14">
        <f>M13*M12</f>
        <v>1</v>
      </c>
      <c r="N14">
        <f>L14/M14</f>
        <v>8.4016666666679695E-5</v>
      </c>
      <c r="O14">
        <f t="shared" si="2"/>
        <v>3.6772613589001431</v>
      </c>
      <c r="P14" t="s">
        <v>37</v>
      </c>
    </row>
    <row r="15" spans="1:16">
      <c r="A15" s="2">
        <v>1</v>
      </c>
      <c r="B15" s="3">
        <v>2.0329999999999999</v>
      </c>
      <c r="G15" s="12">
        <f t="shared" si="0"/>
        <v>7.1111111111095451E-8</v>
      </c>
      <c r="K15" t="s">
        <v>38</v>
      </c>
      <c r="L15" s="12">
        <f>M8</f>
        <v>1.2794666666666558E-3</v>
      </c>
      <c r="M15">
        <f>COUNT(A4:A63)-COUNT(K4:K7)</f>
        <v>56</v>
      </c>
      <c r="N15">
        <f>L15/M15</f>
        <v>2.2847619047618854E-5</v>
      </c>
      <c r="O15">
        <f t="shared" si="2"/>
        <v>1</v>
      </c>
    </row>
    <row r="16" spans="1:16">
      <c r="A16" s="2">
        <v>1</v>
      </c>
      <c r="B16" s="3">
        <v>2.0310000000000001</v>
      </c>
      <c r="G16" s="12">
        <f t="shared" si="0"/>
        <v>3.0044444444437829E-6</v>
      </c>
      <c r="K16" t="s">
        <v>39</v>
      </c>
      <c r="L16" s="10">
        <f>SUM(L12:L15)</f>
        <v>2.3856499999999944E-3</v>
      </c>
      <c r="M16">
        <f>SUM(M12:M15)</f>
        <v>59</v>
      </c>
      <c r="N16">
        <f>L16/M16</f>
        <v>4.043474576271177E-5</v>
      </c>
      <c r="O16">
        <f>N16/$N$15</f>
        <v>1.7697575260878582</v>
      </c>
    </row>
    <row r="17" spans="1:13">
      <c r="A17" s="2">
        <v>1</v>
      </c>
      <c r="B17" s="3">
        <v>2.0310000000000001</v>
      </c>
      <c r="G17" s="12">
        <f t="shared" si="0"/>
        <v>3.0044444444437829E-6</v>
      </c>
    </row>
    <row r="18" spans="1:13" ht="13.5" thickBot="1">
      <c r="A18" s="4">
        <v>1</v>
      </c>
      <c r="B18" s="5">
        <v>2.0310000000000001</v>
      </c>
      <c r="G18" s="12">
        <f t="shared" si="0"/>
        <v>3.0044444444437829E-6</v>
      </c>
    </row>
    <row r="19" spans="1:13">
      <c r="A19" s="6">
        <v>2</v>
      </c>
      <c r="B19" s="7">
        <v>2.0350000000000001</v>
      </c>
      <c r="G19" s="12">
        <f>(B19-$L$5)^2</f>
        <v>1.1560000000000474E-5</v>
      </c>
    </row>
    <row r="20" spans="1:13">
      <c r="A20" s="2">
        <v>2</v>
      </c>
      <c r="B20" s="3">
        <v>2.0289999999999999</v>
      </c>
      <c r="G20" s="12">
        <f t="shared" ref="G20:G34" si="3">(B20-$L$5)^2</f>
        <v>8.8360000000005585E-5</v>
      </c>
      <c r="K20" t="s">
        <v>40</v>
      </c>
      <c r="L20" t="s">
        <v>8</v>
      </c>
    </row>
    <row r="21" spans="1:13">
      <c r="A21" s="2">
        <v>2</v>
      </c>
      <c r="B21" s="3">
        <v>2.04</v>
      </c>
      <c r="G21" s="12">
        <f t="shared" si="3"/>
        <v>2.5599999999994359E-6</v>
      </c>
      <c r="K21" t="s">
        <v>41</v>
      </c>
      <c r="L21" s="11">
        <f>(L4-P4-P6+L8)^2</f>
        <v>1.4002777777782576E-6</v>
      </c>
    </row>
    <row r="22" spans="1:13">
      <c r="A22" s="2">
        <v>2</v>
      </c>
      <c r="B22" s="3">
        <v>2.036</v>
      </c>
      <c r="G22" s="12">
        <f t="shared" si="3"/>
        <v>5.760000000000863E-6</v>
      </c>
      <c r="K22" t="s">
        <v>42</v>
      </c>
      <c r="L22" s="11">
        <f>(L5-P4-P7+L8)^2</f>
        <v>1.4002777777772066E-6</v>
      </c>
    </row>
    <row r="23" spans="1:13">
      <c r="A23" s="2">
        <v>2</v>
      </c>
      <c r="B23" s="3">
        <v>2.04</v>
      </c>
      <c r="G23" s="12">
        <f t="shared" si="3"/>
        <v>2.5599999999994359E-6</v>
      </c>
      <c r="K23" t="s">
        <v>43</v>
      </c>
      <c r="L23" s="11">
        <f>SUM(L6-P5-P6+L8)^2</f>
        <v>1.4002777777782576E-6</v>
      </c>
    </row>
    <row r="24" spans="1:13">
      <c r="A24" s="2">
        <v>2</v>
      </c>
      <c r="B24" s="3">
        <v>2.0379999999999998</v>
      </c>
      <c r="G24" s="12">
        <f t="shared" si="3"/>
        <v>1.6000000000032002E-7</v>
      </c>
      <c r="K24" t="s">
        <v>44</v>
      </c>
      <c r="L24" s="11">
        <f>(L7-P5-P7+L8)^2</f>
        <v>1.4002777777782576E-6</v>
      </c>
    </row>
    <row r="25" spans="1:13">
      <c r="A25" s="2">
        <v>2</v>
      </c>
      <c r="B25" s="3">
        <v>2.0489999999999999</v>
      </c>
      <c r="G25" s="12">
        <f t="shared" si="3"/>
        <v>1.1235999999999408E-4</v>
      </c>
      <c r="L25" s="9"/>
      <c r="M25" s="9"/>
    </row>
    <row r="26" spans="1:13">
      <c r="A26" s="2">
        <v>2</v>
      </c>
      <c r="B26" s="3">
        <v>2.048</v>
      </c>
      <c r="G26" s="12">
        <f t="shared" si="3"/>
        <v>9.2159999999996759E-5</v>
      </c>
      <c r="L26" s="9"/>
    </row>
    <row r="27" spans="1:13">
      <c r="A27" s="2">
        <v>2</v>
      </c>
      <c r="B27" s="3">
        <v>2.0449999999999999</v>
      </c>
      <c r="G27" s="12">
        <f t="shared" si="3"/>
        <v>4.3559999999996269E-5</v>
      </c>
    </row>
    <row r="28" spans="1:13">
      <c r="A28" s="2">
        <v>2</v>
      </c>
      <c r="B28" s="3">
        <v>2.0449999999999999</v>
      </c>
      <c r="G28" s="12">
        <f t="shared" si="3"/>
        <v>4.3559999999996269E-5</v>
      </c>
    </row>
    <row r="29" spans="1:13">
      <c r="A29" s="2">
        <v>2</v>
      </c>
      <c r="B29" s="3">
        <v>2.0379999999999998</v>
      </c>
      <c r="G29" s="12">
        <f t="shared" si="3"/>
        <v>1.6000000000032002E-7</v>
      </c>
    </row>
    <row r="30" spans="1:13">
      <c r="A30" s="2">
        <v>2</v>
      </c>
      <c r="B30" s="3">
        <v>2.0339999999999998</v>
      </c>
      <c r="G30" s="12">
        <f t="shared" si="3"/>
        <v>1.9360000000003552E-5</v>
      </c>
    </row>
    <row r="31" spans="1:13">
      <c r="A31" s="2">
        <v>2</v>
      </c>
      <c r="B31" s="3">
        <v>2.036</v>
      </c>
      <c r="G31" s="12">
        <f t="shared" si="3"/>
        <v>5.760000000000863E-6</v>
      </c>
    </row>
    <row r="32" spans="1:13">
      <c r="A32" s="2">
        <v>2</v>
      </c>
      <c r="B32" s="3">
        <v>2.032</v>
      </c>
      <c r="G32" s="12">
        <f t="shared" si="3"/>
        <v>4.0960000000002345E-5</v>
      </c>
    </row>
    <row r="33" spans="1:7" ht="13.5" thickBot="1">
      <c r="A33" s="4">
        <v>2</v>
      </c>
      <c r="B33" s="5">
        <v>2.0310000000000001</v>
      </c>
      <c r="G33" s="12">
        <f t="shared" si="3"/>
        <v>5.4760000000001082E-5</v>
      </c>
    </row>
    <row r="34" spans="1:7">
      <c r="A34" s="6">
        <v>3</v>
      </c>
      <c r="B34" s="7">
        <v>2.0449999999999999</v>
      </c>
      <c r="G34" s="12">
        <f>(B34-$L$6)^2</f>
        <v>5.4444444444432453E-6</v>
      </c>
    </row>
    <row r="35" spans="1:7">
      <c r="A35" s="2">
        <v>3</v>
      </c>
      <c r="B35" s="3">
        <v>2.0430000000000001</v>
      </c>
      <c r="G35" s="12">
        <f t="shared" ref="G35:G49" si="4">(B35-$L$6)^2</f>
        <v>1.1111111111108664E-7</v>
      </c>
    </row>
    <row r="36" spans="1:7">
      <c r="A36" s="2">
        <v>3</v>
      </c>
      <c r="B36" s="3">
        <v>2.0449999999999999</v>
      </c>
      <c r="G36" s="12">
        <f t="shared" si="4"/>
        <v>5.4444444444432453E-6</v>
      </c>
    </row>
    <row r="37" spans="1:7">
      <c r="A37" s="2">
        <v>3</v>
      </c>
      <c r="B37" s="3">
        <v>2.0430000000000001</v>
      </c>
      <c r="G37" s="12">
        <f t="shared" si="4"/>
        <v>1.1111111111108664E-7</v>
      </c>
    </row>
    <row r="38" spans="1:7">
      <c r="A38" s="2">
        <v>3</v>
      </c>
      <c r="B38" s="3">
        <v>2.0499999999999998</v>
      </c>
      <c r="G38" s="12">
        <f t="shared" si="4"/>
        <v>5.3777777777772448E-5</v>
      </c>
    </row>
    <row r="39" spans="1:7">
      <c r="A39" s="2">
        <v>3</v>
      </c>
      <c r="B39" s="3">
        <v>2.0419999999999998</v>
      </c>
      <c r="G39" s="12">
        <f t="shared" si="4"/>
        <v>4.4444444444493868E-7</v>
      </c>
    </row>
    <row r="40" spans="1:7">
      <c r="A40" s="2">
        <v>3</v>
      </c>
      <c r="B40" s="3">
        <v>2.044</v>
      </c>
      <c r="G40" s="12">
        <f t="shared" si="4"/>
        <v>1.7777777777773862E-6</v>
      </c>
    </row>
    <row r="41" spans="1:7">
      <c r="A41" s="2">
        <v>3</v>
      </c>
      <c r="B41" s="3">
        <v>2.0449999999999999</v>
      </c>
      <c r="G41" s="12">
        <f t="shared" si="4"/>
        <v>5.4444444444432453E-6</v>
      </c>
    </row>
    <row r="42" spans="1:7">
      <c r="A42" s="2">
        <v>3</v>
      </c>
      <c r="B42" s="3">
        <v>2.0499999999999998</v>
      </c>
      <c r="G42" s="12">
        <f t="shared" si="4"/>
        <v>5.3777777777772448E-5</v>
      </c>
    </row>
    <row r="43" spans="1:7">
      <c r="A43" s="2">
        <v>3</v>
      </c>
      <c r="B43" s="3">
        <v>2.0470000000000002</v>
      </c>
      <c r="G43" s="12">
        <f t="shared" si="4"/>
        <v>1.8777777777777489E-5</v>
      </c>
    </row>
    <row r="44" spans="1:7">
      <c r="A44" s="2">
        <v>3</v>
      </c>
      <c r="B44" s="3">
        <v>2.036</v>
      </c>
      <c r="G44" s="12">
        <f t="shared" si="4"/>
        <v>4.44444444444465E-5</v>
      </c>
    </row>
    <row r="45" spans="1:7">
      <c r="A45" s="2">
        <v>3</v>
      </c>
      <c r="B45" s="3">
        <v>2.0409999999999999</v>
      </c>
      <c r="G45" s="12">
        <f t="shared" si="4"/>
        <v>2.7777777777786461E-6</v>
      </c>
    </row>
    <row r="46" spans="1:7">
      <c r="A46" s="2">
        <v>3</v>
      </c>
      <c r="B46" s="3">
        <v>2.036</v>
      </c>
      <c r="G46" s="12">
        <f t="shared" si="4"/>
        <v>4.44444444444465E-5</v>
      </c>
    </row>
    <row r="47" spans="1:7">
      <c r="A47" s="2">
        <v>3</v>
      </c>
      <c r="B47" s="3">
        <v>2.036</v>
      </c>
      <c r="G47" s="12">
        <f t="shared" si="4"/>
        <v>4.44444444444465E-5</v>
      </c>
    </row>
    <row r="48" spans="1:7" ht="13.5" thickBot="1">
      <c r="A48" s="4">
        <v>3</v>
      </c>
      <c r="B48" s="5">
        <v>2.0369999999999999</v>
      </c>
      <c r="G48" s="12">
        <f t="shared" si="4"/>
        <v>3.2111111111114102E-5</v>
      </c>
    </row>
    <row r="49" spans="1:7">
      <c r="A49" s="6">
        <v>4</v>
      </c>
      <c r="B49" s="7">
        <v>2.0419999999999998</v>
      </c>
      <c r="G49" s="12">
        <f>(B49-$L$7)^2</f>
        <v>2.5600000000008573E-6</v>
      </c>
    </row>
    <row r="50" spans="1:7">
      <c r="A50" s="2">
        <v>4</v>
      </c>
      <c r="B50" s="3">
        <v>2.0449999999999999</v>
      </c>
      <c r="G50" s="12">
        <f t="shared" ref="G50:G63" si="5">(B50-$L$7)^2</f>
        <v>1.9599999999995683E-6</v>
      </c>
    </row>
    <row r="51" spans="1:7">
      <c r="A51" s="2">
        <v>4</v>
      </c>
      <c r="B51" s="3">
        <v>2.0430000000000001</v>
      </c>
      <c r="G51" s="12">
        <f t="shared" si="5"/>
        <v>3.5999999999992069E-7</v>
      </c>
    </row>
    <row r="52" spans="1:7">
      <c r="A52" s="2">
        <v>4</v>
      </c>
      <c r="B52" s="3">
        <v>2.0449999999999999</v>
      </c>
      <c r="G52" s="12">
        <f t="shared" si="5"/>
        <v>1.9599999999995683E-6</v>
      </c>
    </row>
    <row r="53" spans="1:7">
      <c r="A53" s="2">
        <v>4</v>
      </c>
      <c r="B53" s="3">
        <v>2.0499999999999998</v>
      </c>
      <c r="G53" s="12">
        <f t="shared" si="5"/>
        <v>4.095999999999666E-5</v>
      </c>
    </row>
    <row r="54" spans="1:7">
      <c r="A54" s="2">
        <v>4</v>
      </c>
      <c r="B54" s="3">
        <v>2.048</v>
      </c>
      <c r="G54" s="12">
        <f t="shared" si="5"/>
        <v>1.9359999999999645E-5</v>
      </c>
    </row>
    <row r="55" spans="1:7">
      <c r="A55" s="2">
        <v>4</v>
      </c>
      <c r="B55" s="3">
        <v>2.0390000000000001</v>
      </c>
      <c r="G55" s="12">
        <f t="shared" si="5"/>
        <v>2.1159999999999425E-5</v>
      </c>
    </row>
    <row r="56" spans="1:7">
      <c r="A56" s="2">
        <v>4</v>
      </c>
      <c r="B56" s="3">
        <v>2.0409999999999999</v>
      </c>
      <c r="G56" s="12">
        <f t="shared" si="5"/>
        <v>6.7600000000008204E-6</v>
      </c>
    </row>
    <row r="57" spans="1:7">
      <c r="A57" s="2">
        <v>4</v>
      </c>
      <c r="B57" s="3">
        <v>2.04</v>
      </c>
      <c r="G57" s="12">
        <f t="shared" si="5"/>
        <v>1.2960000000000343E-5</v>
      </c>
    </row>
    <row r="58" spans="1:7">
      <c r="A58" s="2">
        <v>4</v>
      </c>
      <c r="B58" s="3">
        <v>2.0430000000000001</v>
      </c>
      <c r="G58" s="12">
        <f t="shared" si="5"/>
        <v>3.5999999999992069E-7</v>
      </c>
    </row>
    <row r="59" spans="1:7">
      <c r="A59" s="2">
        <v>4</v>
      </c>
      <c r="B59" s="3">
        <v>2.0390000000000001</v>
      </c>
      <c r="G59" s="12">
        <f t="shared" si="5"/>
        <v>2.1159999999999425E-5</v>
      </c>
    </row>
    <row r="60" spans="1:7">
      <c r="A60" s="2">
        <v>4</v>
      </c>
      <c r="B60" s="3">
        <v>2.056</v>
      </c>
      <c r="G60" s="12">
        <f t="shared" si="5"/>
        <v>1.5375999999999918E-4</v>
      </c>
    </row>
    <row r="61" spans="1:7">
      <c r="A61" s="2">
        <v>4</v>
      </c>
      <c r="B61" s="3">
        <v>2.0419999999999998</v>
      </c>
      <c r="G61" s="12">
        <f t="shared" si="5"/>
        <v>2.5600000000008573E-6</v>
      </c>
    </row>
    <row r="62" spans="1:7">
      <c r="A62" s="2">
        <v>4</v>
      </c>
      <c r="B62" s="3">
        <v>2.0390000000000001</v>
      </c>
      <c r="G62" s="12">
        <f t="shared" si="5"/>
        <v>2.1159999999999425E-5</v>
      </c>
    </row>
    <row r="63" spans="1:7">
      <c r="A63" s="2">
        <v>4</v>
      </c>
      <c r="B63" s="3">
        <v>2.0419999999999998</v>
      </c>
      <c r="G63" s="12">
        <f t="shared" si="5"/>
        <v>2.5600000000008573E-6</v>
      </c>
    </row>
  </sheetData>
  <phoneticPr fontId="1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9835-BB89-43CA-8DA9-F2AB843D6636}">
  <dimension ref="A1"/>
  <sheetViews>
    <sheetView workbookViewId="0"/>
  </sheetViews>
  <sheetFormatPr defaultRowHeight="12.75"/>
  <cols>
    <col min="1" max="256" width="11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F71C-D0C5-4506-BAB9-CEEEFB83F7B2}">
  <dimension ref="A1"/>
  <sheetViews>
    <sheetView workbookViewId="0"/>
  </sheetViews>
  <sheetFormatPr defaultRowHeight="12.75"/>
  <cols>
    <col min="1" max="256" width="11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Hardt</dc:creator>
  <cp:keywords/>
  <dc:description/>
  <cp:lastModifiedBy/>
  <cp:revision/>
  <dcterms:created xsi:type="dcterms:W3CDTF">2005-03-16T15:00:48Z</dcterms:created>
  <dcterms:modified xsi:type="dcterms:W3CDTF">2025-11-17T20:08:20Z</dcterms:modified>
  <cp:category/>
  <cp:contentStatus/>
</cp:coreProperties>
</file>